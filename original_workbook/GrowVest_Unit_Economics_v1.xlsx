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Assumptions" sheetId="1" state="visible" r:id="rId3"/>
    <sheet name="Unit Economics" sheetId="2" state="visible" r:id="rId4"/>
    <sheet name="Scenario" sheetId="3" state="visible" r:id="rId5"/>
    <sheet name="Read M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<sst xmlns="http://schemas.openxmlformats.org/spreadsheetml/2006/main" count="32" uniqueCount="27">
  <si>
    <t xml:space="preserve">Input</t>
  </si>
  <si>
    <t xml:space="preserve">Free</t>
  </si>
  <si>
    <t xml:space="preserve">Pro</t>
  </si>
  <si>
    <t xml:space="preserve">Premium</t>
  </si>
  <si>
    <t xml:space="preserve">Price ($/mo)</t>
  </si>
  <si>
    <t xml:space="preserve">Hosting ($/user/mo)</t>
  </si>
  <si>
    <t xml:space="preserve">Support ($/user/mo)</t>
  </si>
  <si>
    <t xml:space="preserve">Monthly churn</t>
  </si>
  <si>
    <t xml:space="preserve">CAC ($)</t>
  </si>
  <si>
    <t xml:space="preserve">Stripe %</t>
  </si>
  <si>
    <t xml:space="preserve">Stripe fixed ($)</t>
  </si>
  <si>
    <t xml:space="preserve">Output</t>
  </si>
  <si>
    <t xml:space="preserve">Payment fee</t>
  </si>
  <si>
    <t xml:space="preserve">Gross margin</t>
  </si>
  <si>
    <t xml:space="preserve">Margin %</t>
  </si>
  <si>
    <t xml:space="preserve">LTV</t>
  </si>
  <si>
    <t xml:space="preserve">CAC payback (mo)</t>
  </si>
  <si>
    <t xml:space="preserve">LTV:CAC</t>
  </si>
  <si>
    <t xml:space="preserve">High-churn scenario for Pro (what-if)</t>
  </si>
  <si>
    <t xml:space="preserve">Value</t>
  </si>
  <si>
    <t xml:space="preserve">Price</t>
  </si>
  <si>
    <t xml:space="preserve">Monthly churn (typed by analyst)</t>
  </si>
  <si>
    <t xml:space="preserve">GrowVest unit economics model, v1 (inherited artifact).</t>
  </si>
  <si>
    <t xml:space="preserve">Yellow cells are inputs. All figures are per user per month.</t>
  </si>
  <si>
    <t xml:space="preserve">Prices are GrowVest's published tiers; costs, churn and CAC are simulated.</t>
  </si>
  <si>
    <t xml:space="preserve">KNOWN DEFECTS (Assignment 3.2 audit): R-01 Premium fee uses Pro price;</t>
  </si>
  <si>
    <t xml:space="preserve">R-02 Stripe fee hard-coded in formulas; R-03 churn accepted as whole percent.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</si>
</sst>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0" t="s">
        <v>4</v>
      </c>
      <c r="B2" s="2" t="n">
        <v>0</v>
      </c>
      <c r="C2" s="2" t="n">
        <v>29</v>
      </c>
      <c r="D2" s="2" t="n">
        <v>79</v>
      </c>
    </row>
    <row r="3" customFormat="false" ht="15" hidden="false" customHeight="false" outlineLevel="0" collapsed="false">
      <c r="A3" s="0" t="s">
        <v>5</v>
      </c>
      <c r="B3" s="2" t="n">
        <v>0.6</v>
      </c>
      <c r="C3" s="2" t="n">
        <v>3.2</v>
      </c>
      <c r="D3" s="2" t="n">
        <v>6.5</v>
      </c>
    </row>
    <row r="4" customFormat="false" ht="15" hidden="false" customHeight="false" outlineLevel="0" collapsed="false">
      <c r="A4" s="0" t="s">
        <v>6</v>
      </c>
      <c r="B4" s="2" t="n">
        <v>0.1</v>
      </c>
      <c r="C4" s="2" t="n">
        <v>1.5</v>
      </c>
      <c r="D4" s="2" t="n">
        <v>4</v>
      </c>
    </row>
    <row r="5" customFormat="false" ht="15" hidden="false" customHeight="false" outlineLevel="0" collapsed="false">
      <c r="A5" s="0" t="s">
        <v>7</v>
      </c>
      <c r="B5" s="2" t="n">
        <v>0.15</v>
      </c>
      <c r="C5" s="2" t="n">
        <v>0.06</v>
      </c>
      <c r="D5" s="2" t="n">
        <v>0.04</v>
      </c>
    </row>
    <row r="6" customFormat="false" ht="15" hidden="false" customHeight="false" outlineLevel="0" collapsed="false">
      <c r="A6" s="0" t="s">
        <v>8</v>
      </c>
      <c r="B6" s="2" t="n">
        <v>12</v>
      </c>
      <c r="C6" s="2" t="n">
        <v>85</v>
      </c>
      <c r="D6" s="2" t="n">
        <v>160</v>
      </c>
    </row>
    <row r="8" customFormat="false" ht="15" hidden="false" customHeight="false" outlineLevel="0" collapsed="false">
      <c r="A8" s="0" t="s">
        <v>9</v>
      </c>
      <c r="B8" s="2" t="n">
        <v>0.029</v>
      </c>
    </row>
    <row r="9" customFormat="false" ht="15" hidden="false" customHeight="false" outlineLevel="0" collapsed="false">
      <c r="A9" s="0" t="s">
        <v>10</v>
      </c>
      <c r="B9" s="2" t="n">
        <v>0.3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</cols>
  <sheetData>
    <row r="1" customFormat="false" ht="15" hidden="false" customHeight="false" outlineLevel="0" collapsed="false">
      <c r="A1" s="1" t="s">
        <v>11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0" t="s">
        <v>12</v>
      </c>
      <c r="B2" s="0" t="n">
        <f aca="false">IF(Assumptions!B2=0,0,Assumptions!B2*Assumptions!B8+Assumptions!B9)</f>
        <v>0</v>
      </c>
      <c r="C2" s="0" t="n">
        <f aca="false">Assumptions!C2*0.029+0.3</f>
        <v>1.141</v>
      </c>
      <c r="D2" s="0" t="n">
        <f aca="false">Assumptions!C2*0.029+0.3</f>
        <v>1.141</v>
      </c>
    </row>
    <row r="3" customFormat="false" ht="15" hidden="false" customHeight="false" outlineLevel="0" collapsed="false">
      <c r="A3" s="0" t="s">
        <v>13</v>
      </c>
      <c r="B3" s="0" t="n">
        <f aca="false">Assumptions!B2-Assumptions!B3-Assumptions!B4-B2</f>
        <v>-0.7</v>
      </c>
      <c r="C3" s="0" t="n">
        <f aca="false">Assumptions!C2-Assumptions!C3-Assumptions!C4-C2</f>
        <v>23.159</v>
      </c>
      <c r="D3" s="0" t="n">
        <f aca="false">Assumptions!D2-Assumptions!D3-Assumptions!D4-D2</f>
        <v>67.359</v>
      </c>
    </row>
    <row r="4" customFormat="false" ht="15" hidden="false" customHeight="false" outlineLevel="0" collapsed="false">
      <c r="A4" s="0" t="s">
        <v>14</v>
      </c>
      <c r="B4" s="0" t="str">
        <f aca="false">"n/a"</f>
        <v>n/a</v>
      </c>
      <c r="C4" s="0" t="n">
        <f aca="false">C3/Assumptions!C2</f>
        <v>0.798586206896552</v>
      </c>
      <c r="D4" s="0" t="n">
        <f aca="false">D3/Assumptions!D2</f>
        <v>0.852645569620253</v>
      </c>
    </row>
    <row r="5" customFormat="false" ht="15" hidden="false" customHeight="false" outlineLevel="0" collapsed="false">
      <c r="A5" s="0" t="s">
        <v>15</v>
      </c>
      <c r="B5" s="0" t="n">
        <f aca="false">B3/Assumptions!B5</f>
        <v>-4.66666666666667</v>
      </c>
      <c r="C5" s="0" t="n">
        <f aca="false">C3/Assumptions!C5</f>
        <v>385.983333333333</v>
      </c>
      <c r="D5" s="0" t="n">
        <f aca="false">D3/Assumptions!D5</f>
        <v>1683.975</v>
      </c>
    </row>
    <row r="6" customFormat="false" ht="15" hidden="false" customHeight="false" outlineLevel="0" collapsed="false">
      <c r="A6" s="0" t="s">
        <v>16</v>
      </c>
      <c r="B6" s="0" t="str">
        <f aca="false">"n/a"</f>
        <v>n/a</v>
      </c>
      <c r="C6" s="0" t="n">
        <f aca="false">Assumptions!C6/C3</f>
        <v>3.67027937302992</v>
      </c>
      <c r="D6" s="0" t="n">
        <f aca="false">Assumptions!D6/D3</f>
        <v>2.3753321753589</v>
      </c>
    </row>
    <row r="7" customFormat="false" ht="15" hidden="false" customHeight="false" outlineLevel="0" collapsed="false">
      <c r="A7" s="0" t="s">
        <v>17</v>
      </c>
      <c r="B7" s="0" t="n">
        <f aca="false">B5/Assumptions!B6</f>
        <v>-0.388888888888889</v>
      </c>
      <c r="C7" s="0" t="n">
        <f aca="false">C5/Assumptions!C6</f>
        <v>4.54098039215686</v>
      </c>
      <c r="D7" s="0" t="n">
        <f aca="false">D5/Assumptions!D6</f>
        <v>10.52484375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</cols>
  <sheetData>
    <row r="1" customFormat="false" ht="15" hidden="false" customHeight="false" outlineLevel="0" collapsed="false">
      <c r="A1" s="1" t="s">
        <v>18</v>
      </c>
      <c r="B1" s="3" t="s">
        <v>19</v>
      </c>
    </row>
    <row r="2" customFormat="false" ht="15" hidden="false" customHeight="false" outlineLevel="0" collapsed="false">
      <c r="A2" s="0" t="s">
        <v>20</v>
      </c>
      <c r="B2" s="0" t="n">
        <f aca="false">Assumptions!C2</f>
        <v>29</v>
      </c>
    </row>
    <row r="3" customFormat="false" ht="15" hidden="false" customHeight="false" outlineLevel="0" collapsed="false">
      <c r="A3" s="0" t="s">
        <v>13</v>
      </c>
      <c r="B3" s="0" t="n">
        <f aca="false">'Unit Economics'!C3</f>
        <v>23.159</v>
      </c>
    </row>
    <row r="4" customFormat="false" ht="15" hidden="false" customHeight="false" outlineLevel="0" collapsed="false">
      <c r="A4" s="0" t="s">
        <v>21</v>
      </c>
      <c r="B4" s="0" t="n">
        <v>6</v>
      </c>
    </row>
    <row r="5" customFormat="false" ht="15" hidden="false" customHeight="false" outlineLevel="0" collapsed="false">
      <c r="A5" s="0" t="s">
        <v>15</v>
      </c>
      <c r="B5" s="0" t="n">
        <f aca="false">B3/B4</f>
        <v>3.85983333333333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22</v>
      </c>
    </row>
    <row r="2" customFormat="false" ht="15" hidden="false" customHeight="false" outlineLevel="0" collapsed="false">
      <c r="A2" s="0" t="s">
        <v>23</v>
      </c>
    </row>
    <row r="3" customFormat="false" ht="15" hidden="false" customHeight="false" outlineLevel="0" collapsed="false">
      <c r="A3" s="0" t="s">
        <v>24</v>
      </c>
    </row>
    <row r="4" customFormat="false" ht="15" hidden="false" customHeight="false" outlineLevel="0" collapsed="false">
      <c r="A4" s="0" t="s">
        <v>25</v>
      </c>
    </row>
    <row r="5" customFormat="false" ht="15" hidden="false" customHeight="false" outlineLevel="0" collapsed="false">
      <c r="A5" s="0" t="s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2026-10-26T01:20:04Z</dcterms:created>
  <dc:creator>openpyxl</dc:creator>
  <dc:description/>
  <dc:language>en-US</dc:language>
  <cp:lastModifiedBy/>
  <dcterms:modified xsi:type="dcterms:W3CDTF">2026-10-26T01:20:04Z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